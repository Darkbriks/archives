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Document\Lycée\terminale\"/>
    </mc:Choice>
  </mc:AlternateContent>
  <xr:revisionPtr revIDLastSave="0" documentId="13_ncr:1_{63E70DA3-0929-46D5-81FC-5075AB709EA6}" xr6:coauthVersionLast="47" xr6:coauthVersionMax="47" xr10:uidLastSave="{00000000-0000-0000-0000-000000000000}"/>
  <bookViews>
    <workbookView xWindow="-28920" yWindow="-45" windowWidth="29040" windowHeight="16440" xr2:uid="{180518B1-1740-42A9-96E3-C8CD02E8AC2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4" i="1" l="1"/>
  <c r="L3" i="1"/>
  <c r="L2" i="1"/>
  <c r="K4" i="1"/>
  <c r="K3" i="1"/>
  <c r="K2" i="1"/>
  <c r="J11" i="1"/>
  <c r="I10" i="1"/>
  <c r="I9" i="1"/>
  <c r="H10" i="1"/>
  <c r="H9" i="1"/>
  <c r="F11" i="1"/>
  <c r="D10" i="1"/>
  <c r="D9" i="1"/>
  <c r="C10" i="1"/>
  <c r="C9" i="1"/>
  <c r="I4" i="1"/>
  <c r="I3" i="1"/>
  <c r="I2" i="1"/>
  <c r="H4" i="1"/>
  <c r="H3" i="1"/>
  <c r="H2" i="1"/>
  <c r="F4" i="1"/>
  <c r="F3" i="1"/>
  <c r="F2" i="1"/>
  <c r="E4" i="1"/>
  <c r="E3" i="1"/>
  <c r="E2" i="1"/>
</calcChain>
</file>

<file path=xl/sharedStrings.xml><?xml version="1.0" encoding="utf-8"?>
<sst xmlns="http://schemas.openxmlformats.org/spreadsheetml/2006/main" count="22" uniqueCount="22">
  <si>
    <t>Prix Moyen</t>
  </si>
  <si>
    <t>Sapin Naturel</t>
  </si>
  <si>
    <t>Sapin Artificiel (poly)</t>
  </si>
  <si>
    <t>Sapin Artificiel (Futura-science)</t>
  </si>
  <si>
    <t>Cout carbone (en Kg)</t>
  </si>
  <si>
    <t>Cout carbone 6 ans</t>
  </si>
  <si>
    <t>Prix moyen 6 ans</t>
  </si>
  <si>
    <t>Prix moyen 16 ans</t>
  </si>
  <si>
    <t>Sapin naturel</t>
  </si>
  <si>
    <t>Sapin artificiel</t>
  </si>
  <si>
    <t>Cout carbone en g</t>
  </si>
  <si>
    <t>nb km pour un sapin</t>
  </si>
  <si>
    <t>Sachant qu'une voiture rejette environ 120 gkm</t>
  </si>
  <si>
    <t>nb km 1 million sapin</t>
  </si>
  <si>
    <t>nb km pour consomation française (1million artificiel + 5million naturel)</t>
  </si>
  <si>
    <t>Sachant que le perimetre de la terre est de 40075 km</t>
  </si>
  <si>
    <t>nb de tour de la terre pour 1 sapin</t>
  </si>
  <si>
    <t>nb de tour de la terre pour 1 million de sapin</t>
  </si>
  <si>
    <t>nb de tour de la terre pour consomation française (1million artificiel + 5million naturel)</t>
  </si>
  <si>
    <t>Cout carbone 16 ans</t>
  </si>
  <si>
    <t>Cout carbone 20 ans</t>
  </si>
  <si>
    <t>Prix moyen 20 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</si>
</sst>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32313-4FAB-4F5F-99B6-2863B20386C1}">
  <dimension ref="A1:T20"/>
  <sheetViews>
    <sheetView tabSelected="1" workbookViewId="0">
      <selection activeCell="H29" sqref="H29"/>
    </sheetView>
  </sheetViews>
  <sheetFormatPr baseColWidth="10" defaultRowHeight="15" x14ac:dyDescent="0.25"/>
  <cols>
    <col min="1" max="1" width="28.5703125" customWidth="1"/>
    <col min="2" max="3" width="21.42578125" customWidth="1"/>
    <col min="4" max="4" width="1.42578125" customWidth="1"/>
    <col min="5" max="5" width="21.42578125" customWidth="1"/>
    <col min="6" max="6" width="21.5703125" customWidth="1"/>
    <col min="7" max="7" width="1.42578125" customWidth="1"/>
    <col min="8" max="9" width="21.42578125" customWidth="1"/>
    <col min="10" max="10" width="1.42578125" customWidth="1"/>
    <col min="11" max="12" width="20" customWidth="1"/>
  </cols>
  <sheetData>
    <row r="1" spans="1:20" x14ac:dyDescent="0.25">
      <c r="A1" s="3"/>
      <c r="B1" s="3" t="s">
        <v>4</v>
      </c>
      <c r="C1" s="3" t="s">
        <v>0</v>
      </c>
      <c r="D1" s="3"/>
      <c r="E1" s="3" t="s">
        <v>5</v>
      </c>
      <c r="F1" s="3" t="s">
        <v>6</v>
      </c>
      <c r="G1" s="3"/>
      <c r="H1" s="3" t="s">
        <v>19</v>
      </c>
      <c r="I1" s="3" t="s">
        <v>7</v>
      </c>
      <c r="J1" s="3"/>
      <c r="K1" s="3" t="s">
        <v>20</v>
      </c>
      <c r="L1" s="3" t="s">
        <v>21</v>
      </c>
      <c r="M1" s="1"/>
      <c r="N1" s="1"/>
      <c r="O1" s="2"/>
      <c r="P1" s="2"/>
      <c r="Q1" s="2"/>
      <c r="R1" s="2"/>
      <c r="S1" s="2"/>
      <c r="T1" s="2"/>
    </row>
    <row r="2" spans="1:20" x14ac:dyDescent="0.25">
      <c r="A2" s="3" t="s">
        <v>1</v>
      </c>
      <c r="B2" s="3">
        <v>3.1</v>
      </c>
      <c r="C2" s="3">
        <v>55</v>
      </c>
      <c r="D2" s="3"/>
      <c r="E2" s="3">
        <f>6*B2</f>
        <v>18.600000000000001</v>
      </c>
      <c r="F2" s="3">
        <f>6*C2</f>
        <v>330</v>
      </c>
      <c r="G2" s="3"/>
      <c r="H2" s="3">
        <f>16*B2</f>
        <v>49.6</v>
      </c>
      <c r="I2" s="3">
        <f>16*C2</f>
        <v>880</v>
      </c>
      <c r="J2" s="3"/>
      <c r="K2" s="3">
        <f>20*B2</f>
        <v>62</v>
      </c>
      <c r="L2" s="3">
        <f>20*C2</f>
        <v>1100</v>
      </c>
      <c r="M2" s="1"/>
      <c r="N2" s="1"/>
      <c r="O2" s="2"/>
      <c r="P2" s="2"/>
      <c r="Q2" s="2"/>
      <c r="R2" s="2"/>
      <c r="S2" s="2"/>
      <c r="T2" s="2"/>
    </row>
    <row r="3" spans="1:20" x14ac:dyDescent="0.25">
      <c r="A3" s="3" t="s">
        <v>2</v>
      </c>
      <c r="B3" s="3">
        <v>48.3</v>
      </c>
      <c r="C3" s="3">
        <v>185</v>
      </c>
      <c r="D3" s="3"/>
      <c r="E3" s="3">
        <f>B3</f>
        <v>48.3</v>
      </c>
      <c r="F3" s="3">
        <f>C3</f>
        <v>185</v>
      </c>
      <c r="G3" s="3"/>
      <c r="H3" s="3">
        <f>B3</f>
        <v>48.3</v>
      </c>
      <c r="I3" s="3">
        <f>C3</f>
        <v>185</v>
      </c>
      <c r="J3" s="3"/>
      <c r="K3" s="3">
        <f>B3</f>
        <v>48.3</v>
      </c>
      <c r="L3" s="3">
        <f>C3</f>
        <v>185</v>
      </c>
      <c r="M3" s="1"/>
      <c r="N3" s="1"/>
      <c r="O3" s="2"/>
      <c r="P3" s="2"/>
      <c r="Q3" s="2"/>
      <c r="R3" s="2"/>
      <c r="S3" s="2"/>
      <c r="T3" s="2"/>
    </row>
    <row r="4" spans="1:20" x14ac:dyDescent="0.25">
      <c r="A4" s="3" t="s">
        <v>3</v>
      </c>
      <c r="B4" s="3">
        <v>8.1</v>
      </c>
      <c r="C4" s="3">
        <v>185</v>
      </c>
      <c r="D4" s="3"/>
      <c r="E4" s="3">
        <f>B4</f>
        <v>8.1</v>
      </c>
      <c r="F4" s="3">
        <f>C4</f>
        <v>185</v>
      </c>
      <c r="G4" s="3"/>
      <c r="H4" s="3">
        <f>B4</f>
        <v>8.1</v>
      </c>
      <c r="I4" s="3">
        <f>C4</f>
        <v>185</v>
      </c>
      <c r="J4" s="3"/>
      <c r="K4" s="3">
        <f>B4</f>
        <v>8.1</v>
      </c>
      <c r="L4" s="3">
        <f>C4</f>
        <v>185</v>
      </c>
      <c r="M4" s="1"/>
      <c r="N4" s="1"/>
      <c r="O4" s="2"/>
      <c r="P4" s="2"/>
      <c r="Q4" s="2"/>
      <c r="R4" s="2"/>
      <c r="S4" s="2"/>
      <c r="T4" s="2"/>
    </row>
    <row r="5" spans="1:20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"/>
      <c r="N5" s="1"/>
    </row>
    <row r="6" spans="1:20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7"/>
      <c r="M6" s="1"/>
      <c r="N6" s="1"/>
    </row>
    <row r="7" spans="1:20" x14ac:dyDescent="0.25">
      <c r="A7" s="4" t="s">
        <v>12</v>
      </c>
      <c r="B7" s="4"/>
      <c r="C7" s="4"/>
      <c r="D7" s="4"/>
      <c r="E7" s="4"/>
      <c r="F7" s="4"/>
      <c r="G7" s="4"/>
      <c r="H7" s="4" t="s">
        <v>15</v>
      </c>
      <c r="I7" s="4"/>
      <c r="J7" s="4"/>
      <c r="K7" s="4"/>
      <c r="L7" s="7"/>
      <c r="M7" s="1"/>
      <c r="N7" s="1"/>
    </row>
    <row r="8" spans="1:20" ht="41.25" customHeight="1" x14ac:dyDescent="0.25">
      <c r="A8" s="3"/>
      <c r="B8" s="3" t="s">
        <v>10</v>
      </c>
      <c r="C8" s="3" t="s">
        <v>11</v>
      </c>
      <c r="D8" s="4" t="s">
        <v>13</v>
      </c>
      <c r="E8" s="4"/>
      <c r="F8" s="9" t="s">
        <v>14</v>
      </c>
      <c r="G8" s="10"/>
      <c r="H8" s="8" t="s">
        <v>16</v>
      </c>
      <c r="I8" s="8" t="s">
        <v>17</v>
      </c>
      <c r="J8" s="5" t="s">
        <v>18</v>
      </c>
      <c r="K8" s="5"/>
      <c r="L8" s="7"/>
      <c r="M8" s="1"/>
      <c r="N8" s="1"/>
    </row>
    <row r="9" spans="1:20" x14ac:dyDescent="0.25">
      <c r="A9" s="3" t="s">
        <v>8</v>
      </c>
      <c r="B9" s="3">
        <v>3100</v>
      </c>
      <c r="C9" s="3">
        <f>B9/120</f>
        <v>25.833333333333332</v>
      </c>
      <c r="D9" s="4">
        <f>1000000*B9/120</f>
        <v>25833333.333333332</v>
      </c>
      <c r="E9" s="4"/>
      <c r="F9" s="11"/>
      <c r="G9" s="12"/>
      <c r="H9" s="3">
        <f>C9/40075</f>
        <v>6.4462466209191092E-4</v>
      </c>
      <c r="I9" s="3">
        <f>D9/40075</f>
        <v>644.62466209191098</v>
      </c>
      <c r="J9" s="5"/>
      <c r="K9" s="5"/>
      <c r="L9" s="7"/>
      <c r="M9" s="1"/>
      <c r="N9" s="1"/>
    </row>
    <row r="10" spans="1:20" x14ac:dyDescent="0.25">
      <c r="A10" s="3" t="s">
        <v>9</v>
      </c>
      <c r="B10" s="3">
        <v>48300</v>
      </c>
      <c r="C10" s="3">
        <f>B10/120</f>
        <v>402.5</v>
      </c>
      <c r="D10" s="4">
        <f>1000000*B10/120</f>
        <v>402500000</v>
      </c>
      <c r="E10" s="4"/>
      <c r="F10" s="13"/>
      <c r="G10" s="14"/>
      <c r="H10" s="3">
        <f>C10/40075</f>
        <v>1.0043668122270743E-2</v>
      </c>
      <c r="I10" s="3">
        <f>D10/40075</f>
        <v>10043.668122270743</v>
      </c>
      <c r="J10" s="5"/>
      <c r="K10" s="5"/>
      <c r="L10" s="7"/>
      <c r="M10" s="1"/>
      <c r="N10" s="1"/>
    </row>
    <row r="11" spans="1:20" x14ac:dyDescent="0.25">
      <c r="A11" s="17"/>
      <c r="B11" s="17"/>
      <c r="C11" s="17"/>
      <c r="D11" s="17"/>
      <c r="E11" s="16"/>
      <c r="F11" s="4">
        <f>5*D9+D10</f>
        <v>531666666.66666663</v>
      </c>
      <c r="G11" s="4"/>
      <c r="H11" s="15"/>
      <c r="I11" s="16"/>
      <c r="J11" s="4">
        <f>5*I9+I10</f>
        <v>13266.791432730297</v>
      </c>
      <c r="K11" s="4"/>
      <c r="L11" s="7"/>
      <c r="M11" s="1"/>
      <c r="N11" s="1"/>
    </row>
    <row r="12" spans="1:20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1"/>
      <c r="N12" s="1"/>
    </row>
    <row r="13" spans="1:20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1"/>
      <c r="N13" s="1"/>
    </row>
    <row r="14" spans="1:20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1"/>
      <c r="N14" s="1"/>
    </row>
    <row r="15" spans="1:20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1"/>
      <c r="N15" s="1"/>
    </row>
    <row r="16" spans="1:20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1"/>
      <c r="N16" s="1"/>
    </row>
    <row r="17" spans="1:14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1"/>
      <c r="N17" s="1"/>
    </row>
    <row r="18" spans="1:14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"/>
      <c r="N18" s="1"/>
    </row>
    <row r="19" spans="1:14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1"/>
      <c r="N19" s="1"/>
    </row>
    <row r="20" spans="1:14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1"/>
      <c r="N20" s="1"/>
    </row>
  </sheetData>
  <mergeCells count="14">
    <mergeCell ref="L5:L20"/>
    <mergeCell ref="A12:K20"/>
    <mergeCell ref="H11:I11"/>
    <mergeCell ref="A11:E11"/>
    <mergeCell ref="F11:G11"/>
    <mergeCell ref="F8:G10"/>
    <mergeCell ref="J8:K10"/>
    <mergeCell ref="J11:K11"/>
    <mergeCell ref="A5:K6"/>
    <mergeCell ref="A7:G7"/>
    <mergeCell ref="H7:K7"/>
    <mergeCell ref="D8:E8"/>
    <mergeCell ref="D9:E9"/>
    <mergeCell ref="D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</dc:creator>
  <cp:lastModifiedBy>antoine</cp:lastModifiedBy>
  <dcterms:created xsi:type="dcterms:W3CDTF">2022-05-24T11:47:05Z</dcterms:created>
  <dcterms:modified xsi:type="dcterms:W3CDTF">2022-05-24T12:53:23Z</dcterms:modified>
</cp:coreProperties>
</file>